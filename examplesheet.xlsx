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filterPrivacy="1" codeName="ThisWorkbook"/>
  <xr:revisionPtr revIDLastSave="0" documentId="8_{7585F1C4-DBC3-4BD9-86BD-B0FE070134F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รายการสินค้าคงคลัง" sheetId="1" r:id="rId1"/>
  </sheets>
  <definedNames>
    <definedName name="_xlnm._FilterDatabase" localSheetId="0" hidden="1">รายการสินค้าคงคลัง!$K$2</definedName>
    <definedName name="_xlnm.Print_Titles" localSheetId="0">รายการสินค้าคงคลัง!$1:$3</definedName>
    <definedName name="valHighlight">IFERROR(IF(รายการสินค้าคงคลัง!$L$2="ใช่", TRUE, FALSE),FALSE)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5" i="1" l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4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</calcChain>
</file>

<file path=xl/sharedStrings.xml><?xml version="1.0" encoding="utf-8"?>
<sst xmlns="http://schemas.openxmlformats.org/spreadsheetml/2006/main" count="92" uniqueCount="89">
  <si>
    <t>สำหรับการสั่งซื้อซ้ำ</t>
  </si>
  <si>
    <t>ID สินค้าคงคลัง</t>
  </si>
  <si>
    <t>IN0001</t>
  </si>
  <si>
    <t>IN0002</t>
  </si>
  <si>
    <t>IN0003</t>
  </si>
  <si>
    <t>IN0004</t>
  </si>
  <si>
    <t>IN0005</t>
  </si>
  <si>
    <t>IN0006</t>
  </si>
  <si>
    <t>IN0007</t>
  </si>
  <si>
    <t>IN0008</t>
  </si>
  <si>
    <t>IN0009</t>
  </si>
  <si>
    <t>IN0010</t>
  </si>
  <si>
    <t>IN0011</t>
  </si>
  <si>
    <t>IN0012</t>
  </si>
  <si>
    <t>IN0013</t>
  </si>
  <si>
    <t>IN0014</t>
  </si>
  <si>
    <t>IN0015</t>
  </si>
  <si>
    <t>IN0016</t>
  </si>
  <si>
    <t>IN0017</t>
  </si>
  <si>
    <t>IN0018</t>
  </si>
  <si>
    <t>IN0019</t>
  </si>
  <si>
    <t>IN0020</t>
  </si>
  <si>
    <t>IN0021</t>
  </si>
  <si>
    <t>IN0022</t>
  </si>
  <si>
    <t>IN0023</t>
  </si>
  <si>
    <t>IN0024</t>
  </si>
  <si>
    <t>IN0025</t>
  </si>
  <si>
    <t>ชื่อ</t>
  </si>
  <si>
    <t>รายการ 1</t>
  </si>
  <si>
    <t>รายการ 2</t>
  </si>
  <si>
    <t>รายการ 3</t>
  </si>
  <si>
    <t>รายการ 4</t>
  </si>
  <si>
    <t>รายการ 5</t>
  </si>
  <si>
    <t>รายการ 6</t>
  </si>
  <si>
    <t>รายการ 7</t>
  </si>
  <si>
    <t>รายการ 8</t>
  </si>
  <si>
    <t>รายการ 9</t>
  </si>
  <si>
    <t>รายการ 10</t>
  </si>
  <si>
    <t>รายการ 11</t>
  </si>
  <si>
    <t>รายการ 12</t>
  </si>
  <si>
    <t>รายการ 13</t>
  </si>
  <si>
    <t>รายการ 14</t>
  </si>
  <si>
    <t>รายการ 15</t>
  </si>
  <si>
    <t>รายการ 16</t>
  </si>
  <si>
    <t>รายการ 17</t>
  </si>
  <si>
    <t>รายการ 18</t>
  </si>
  <si>
    <t>รายการ 19</t>
  </si>
  <si>
    <t>รายการ 20</t>
  </si>
  <si>
    <t>รายการ 21</t>
  </si>
  <si>
    <t>รายการ 22</t>
  </si>
  <si>
    <t>รายการ 23</t>
  </si>
  <si>
    <t>รายการ 24</t>
  </si>
  <si>
    <t>รายการ 25</t>
  </si>
  <si>
    <t>คำอธิบาย</t>
  </si>
  <si>
    <t>คำอธิบาย 1</t>
  </si>
  <si>
    <t>คำอธิบาย 2</t>
  </si>
  <si>
    <t>คำอธิบาย 3</t>
  </si>
  <si>
    <t>คำอธิบาย 4</t>
  </si>
  <si>
    <t>คำอธิบาย 5</t>
  </si>
  <si>
    <t>คำอธิบาย 6</t>
  </si>
  <si>
    <t>คำอธิบาย 7</t>
  </si>
  <si>
    <t>คำอธิบาย 8</t>
  </si>
  <si>
    <t>คำอธิบาย 9</t>
  </si>
  <si>
    <t>คำอธิบาย 10</t>
  </si>
  <si>
    <t>คำอธิบาย 11</t>
  </si>
  <si>
    <t>คำอธิบาย 12</t>
  </si>
  <si>
    <t>คำอธิบาย 13</t>
  </si>
  <si>
    <t>คำอธิบาย 14</t>
  </si>
  <si>
    <t>คำอธิบาย 15</t>
  </si>
  <si>
    <t>คำอธิบาย 16</t>
  </si>
  <si>
    <t>คำอธิบาย 17</t>
  </si>
  <si>
    <t>คำอธิบาย 18</t>
  </si>
  <si>
    <t>คำอธิบาย 19</t>
  </si>
  <si>
    <t>คำอธิบาย 20</t>
  </si>
  <si>
    <t>คำอธิบาย 21</t>
  </si>
  <si>
    <t>คำอธิบาย 22</t>
  </si>
  <si>
    <t>คำอธิบาย 23</t>
  </si>
  <si>
    <t>คำอธิบาย 24</t>
  </si>
  <si>
    <t>คำอธิบาย 25</t>
  </si>
  <si>
    <t>ราคาต่อหน่วย</t>
  </si>
  <si>
    <t>จำนวนในคลังสินค้า</t>
  </si>
  <si>
    <t>มูลค่าของสินค้าคงคลัง</t>
  </si>
  <si>
    <t>ระดับการสั่งซื้อใหม่</t>
  </si>
  <si>
    <t>ระยะเวลาการสั่งซื้อซ้ำเป็นวัน</t>
  </si>
  <si>
    <t>รายการเด่นที่สั่งซื้อซ้ำหรือไม่</t>
  </si>
  <si>
    <t>จำนวนการสั่งซื้อซ้ำ</t>
  </si>
  <si>
    <t>ใช่</t>
  </si>
  <si>
    <t>เลิกสั่งซื้อหรือไม่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</si>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</sst>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1" formatCode="_(* #,##0_);_(* \(#,##0\);_(* &quot;-&quot;_);_(@_)"/>
    <numFmt numFmtId="43" formatCode="_(* #,##0.00_);_(* \(#,##0.00\);_(* &quot;-&quot;??_);_(@_)"/>
    <numFmt numFmtId="187" formatCode="_-&quot;฿&quot;* #,##0_-;\-&quot;฿&quot;* #,##0_-;_-&quot;฿&quot;* &quot;-&quot;_-;_-@_-"/>
    <numFmt numFmtId="188" formatCode="_-&quot;฿&quot;* #,##0.00_-;\-&quot;฿&quot;* #,##0.00_-;_-&quot;฿&quot;* &quot;-&quot;??_-;_-@_-"/>
    <numFmt numFmtId="189" formatCode="&quot;฿&quot;#,##0.00"/>
  </numFmts>
  <fonts count="20" x14ac:knownFonts="1">
    <font>
      <sz val="11"/>
      <color theme="1"/>
      <name val="Leelawadee"/>
      <family val="2"/>
    </font>
    <font>
      <sz val="11"/>
      <color theme="1"/>
      <name val="Leelawadee"/>
      <family val="2"/>
    </font>
    <font>
      <sz val="11"/>
      <color rgb="FF006100"/>
      <name val="Leelawadee"/>
      <family val="2"/>
    </font>
    <font>
      <sz val="11"/>
      <color rgb="FF9C0006"/>
      <name val="Leelawadee"/>
      <family val="2"/>
    </font>
    <font>
      <b/>
      <sz val="11"/>
      <color theme="0"/>
      <name val="Leelawadee"/>
      <family val="2"/>
    </font>
    <font>
      <sz val="18"/>
      <color theme="3"/>
      <name val="Leelawadee"/>
      <family val="2"/>
    </font>
    <font>
      <b/>
      <sz val="15"/>
      <color theme="3"/>
      <name val="Leelawadee"/>
      <family val="2"/>
    </font>
    <font>
      <b/>
      <sz val="13"/>
      <color theme="3"/>
      <name val="Leelawadee"/>
      <family val="2"/>
    </font>
    <font>
      <b/>
      <sz val="11"/>
      <color theme="3"/>
      <name val="Leelawadee"/>
      <family val="2"/>
    </font>
    <font>
      <b/>
      <sz val="11"/>
      <color theme="1"/>
      <name val="Leelawadee"/>
      <family val="2"/>
    </font>
    <font>
      <sz val="11"/>
      <color theme="0"/>
      <name val="Leelawadee"/>
      <family val="2"/>
    </font>
    <font>
      <i/>
      <sz val="11"/>
      <color rgb="FF7F7F7F"/>
      <name val="Leelawadee"/>
      <family val="2"/>
    </font>
    <font>
      <sz val="11"/>
      <color rgb="FFFF0000"/>
      <name val="Leelawadee"/>
      <family val="2"/>
    </font>
    <font>
      <b/>
      <sz val="11"/>
      <color rgb="FFFA7D00"/>
      <name val="Leelawadee"/>
      <family val="2"/>
    </font>
    <font>
      <sz val="11"/>
      <color rgb="FF3F3F76"/>
      <name val="Leelawadee"/>
      <family val="2"/>
    </font>
    <font>
      <b/>
      <sz val="11"/>
      <color rgb="FF3F3F3F"/>
      <name val="Leelawadee"/>
      <family val="2"/>
    </font>
    <font>
      <sz val="11"/>
      <color rgb="FF9C5700"/>
      <name val="Leelawadee"/>
      <family val="2"/>
    </font>
    <font>
      <sz val="11"/>
      <color rgb="FFFA7D00"/>
      <name val="Leelawadee"/>
      <family val="2"/>
    </font>
    <font>
      <sz val="10"/>
      <color theme="1"/>
      <name val="Leelawadee"/>
      <family val="2"/>
    </font>
    <font>
      <sz val="10"/>
      <color theme="5"/>
      <name val="Leelawade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6" fillId="4" borderId="0" applyNumberFormat="0" applyBorder="0" applyAlignment="0" applyProtection="0"/>
    <xf numFmtId="0" fontId="14" fillId="5" borderId="4" applyNumberFormat="0" applyAlignment="0" applyProtection="0"/>
    <xf numFmtId="0" fontId="15" fillId="6" borderId="5" applyNumberFormat="0" applyAlignment="0" applyProtection="0"/>
    <xf numFmtId="0" fontId="13" fillId="6" borderId="4" applyNumberFormat="0" applyAlignment="0" applyProtection="0"/>
    <xf numFmtId="0" fontId="17" fillId="0" borderId="6" applyNumberFormat="0" applyFill="0" applyAlignment="0" applyProtection="0"/>
    <xf numFmtId="0" fontId="4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1" fillId="0" borderId="0" applyNumberFormat="0" applyFill="0" applyBorder="0" applyAlignment="0" applyProtection="0"/>
    <xf numFmtId="0" fontId="9" fillId="0" borderId="9" applyNumberFormat="0" applyFill="0" applyAlignment="0" applyProtection="0"/>
    <xf numFmtId="0" fontId="10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0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0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0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0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0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 indent="1"/>
    </xf>
    <xf numFmtId="0" fontId="18" fillId="0" borderId="0" xfId="0" applyFont="1"/>
    <xf numFmtId="0" fontId="18" fillId="0" borderId="0" xfId="0" applyFont="1" applyAlignment="1">
      <alignment horizontal="right" indent="1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 indent="1"/>
    </xf>
    <xf numFmtId="0" fontId="18" fillId="0" borderId="0" xfId="0" applyFont="1" applyAlignment="1">
      <alignment horizontal="left" vertical="center" indent="1"/>
    </xf>
    <xf numFmtId="189" fontId="18" fillId="0" borderId="0" xfId="0" applyNumberFormat="1" applyFont="1" applyAlignment="1">
      <alignment horizontal="right" vertical="center" indent="1"/>
    </xf>
    <xf numFmtId="0" fontId="18" fillId="0" borderId="0" xfId="0" applyFont="1" applyAlignment="1">
      <alignment horizontal="right" vertical="center" indent="1"/>
    </xf>
  </cellXfs>
  <cellStyles count="47">
    <cellStyle name="20% - Accent1" xfId="24" builtinId="30" customBuiltin="1"/>
    <cellStyle name="20% - Accent2" xfId="28" builtinId="34" customBuiltin="1"/>
    <cellStyle name="20% - Accent3" xfId="32" builtinId="38" customBuiltin="1"/>
    <cellStyle name="20% - Accent4" xfId="36" builtinId="42" customBuiltin="1"/>
    <cellStyle name="20% - Accent5" xfId="40" builtinId="46" customBuiltin="1"/>
    <cellStyle name="20% - Accent6" xfId="44" builtinId="50" customBuiltin="1"/>
    <cellStyle name="40% - Accent1" xfId="25" builtinId="31" customBuiltin="1"/>
    <cellStyle name="40% - Accent2" xfId="29" builtinId="35" customBuiltin="1"/>
    <cellStyle name="40% - Accent3" xfId="33" builtinId="39" customBuiltin="1"/>
    <cellStyle name="40% - Accent4" xfId="37" builtinId="43" customBuiltin="1"/>
    <cellStyle name="40% - Accent5" xfId="41" builtinId="47" customBuiltin="1"/>
    <cellStyle name="40% - Accent6" xfId="45" builtinId="51" customBuiltin="1"/>
    <cellStyle name="60% - Accent1" xfId="26" builtinId="32" customBuiltin="1"/>
    <cellStyle name="60% - Accent2" xfId="30" builtinId="36" customBuiltin="1"/>
    <cellStyle name="60% - Accent3" xfId="34" builtinId="40" customBuiltin="1"/>
    <cellStyle name="60% - Accent4" xfId="38" builtinId="44" customBuiltin="1"/>
    <cellStyle name="60% - Accent5" xfId="42" builtinId="48" customBuiltin="1"/>
    <cellStyle name="60% - Accent6" xfId="46" builtinId="52" customBuiltin="1"/>
    <cellStyle name="Accent1" xfId="23" builtinId="29" customBuiltin="1"/>
    <cellStyle name="Accent2" xfId="27" builtinId="33" customBuiltin="1"/>
    <cellStyle name="Accent3" xfId="31" builtinId="37" customBuiltin="1"/>
    <cellStyle name="Accent4" xfId="35" builtinId="41" customBuiltin="1"/>
    <cellStyle name="Accent5" xfId="39" builtinId="45" customBuiltin="1"/>
    <cellStyle name="Accent6" xfId="43" builtinId="49" customBuiltin="1"/>
    <cellStyle name="Bad" xfId="12" builtinId="27" customBuiltin="1"/>
    <cellStyle name="Calculation" xfId="16" builtinId="22" customBuiltin="1"/>
    <cellStyle name="Check Cell" xfId="18" builtinId="23" customBuiltin="1"/>
    <cellStyle name="Comma" xfId="1" builtinId="3" customBuiltin="1"/>
    <cellStyle name="Comma [0]" xfId="2" builtinId="6" customBuiltin="1"/>
    <cellStyle name="Currency" xfId="3" builtinId="4" customBuiltin="1"/>
    <cellStyle name="Currency [0]" xfId="4" builtinId="7" customBuiltin="1"/>
    <cellStyle name="Explanatory Text" xfId="21" builtinId="53" customBuiltin="1"/>
    <cellStyle name="Good" xfId="1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Input" xfId="14" builtinId="20" customBuiltin="1"/>
    <cellStyle name="Linked Cell" xfId="17" builtinId="24" customBuiltin="1"/>
    <cellStyle name="Neutral" xfId="13" builtinId="28" customBuiltin="1"/>
    <cellStyle name="Normal" xfId="0" builtinId="0" customBuiltin="1"/>
    <cellStyle name="Note" xfId="20" builtinId="10" customBuiltin="1"/>
    <cellStyle name="Output" xfId="15" builtinId="21" customBuiltin="1"/>
    <cellStyle name="Percent" xfId="5" builtinId="5" customBuiltin="1"/>
    <cellStyle name="Title" xfId="6" builtinId="15" customBuiltin="1"/>
    <cellStyle name="Total" xfId="22" builtinId="25" customBuiltin="1"/>
    <cellStyle name="Warning Text" xfId="19" builtinId="11" customBuiltin="1"/>
  </cellStyles>
  <dxfs count="29"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eelawadee"/>
        <family val="2"/>
        <scheme val="none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eelawadee"/>
        <family val="2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eelawadee"/>
        <family val="2"/>
        <scheme val="none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eelawadee"/>
        <family val="2"/>
        <scheme val="none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eelawadee"/>
        <family val="2"/>
        <scheme val="none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eelawadee"/>
        <family val="2"/>
        <scheme val="none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eelawadee"/>
        <family val="2"/>
        <scheme val="none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eelawadee"/>
        <family val="2"/>
        <scheme val="none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eelawadee"/>
        <family val="2"/>
        <scheme val="none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eelawadee"/>
        <family val="2"/>
        <scheme val="none"/>
      </font>
      <numFmt numFmtId="189" formatCode="&quot;฿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eelawadee"/>
        <family val="2"/>
        <scheme val="none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eelawadee"/>
        <family val="2"/>
        <scheme val="none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eelawadee"/>
        <family val="2"/>
        <scheme val="none"/>
      </font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eelawadee"/>
        <family val="2"/>
        <scheme val="none"/>
      </font>
      <numFmt numFmtId="189" formatCode="&quot;฿&quot;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eelawadee"/>
        <family val="2"/>
        <scheme val="none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eelawadee"/>
        <family val="2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eelawadee"/>
        <family val="2"/>
        <scheme val="none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eelawadee"/>
        <family val="2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eelawadee"/>
        <family val="2"/>
        <scheme val="none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eelawadee"/>
        <family val="2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eelawadee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eelawadee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Leelawadee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Leelawadee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>
          <bgColor theme="0" tint="-4.9989318521683403E-2"/>
        </patternFill>
      </fill>
    </dxf>
    <dxf>
      <font>
        <b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1" defaultTableStyle="TableStyleMedium2" defaultPivotStyle="PivotStyleLight16">
    <tableStyle name="ตารางธุรกิจ" pivot="0" count="3" xr9:uid="{00000000-0011-0000-FFFF-FFFF00000000}">
      <tableStyleElement type="wholeTable" dxfId="28"/>
      <tableStyleElement type="headerRow" dxfId="27"/>
      <tableStyleElement type="secondRowStripe" dxfId="2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123823</xdr:colOff>
      <xdr:row>0</xdr:row>
      <xdr:rowOff>152400</xdr:rowOff>
    </xdr:from>
    <xdr:to>
      <xdr:col>12</xdr:col>
      <xdr:colOff>2098</xdr:colOff>
      <xdr:row>1</xdr:row>
      <xdr:rowOff>2133</xdr:rowOff>
    </xdr:to>
    <xdr:pic>
      <xdr:nvPicPr>
        <xdr:cNvPr id="2" name="รูปภาพ 1" descr="แบนเนอร์นามธรรม" title="แบนเนอร์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3823" y="152400"/>
          <a:ext cx="11851200" cy="1326108"/>
        </a:xfrm>
        <a:prstGeom prst="rect">
          <a:avLst/>
        </a:prstGeom>
      </xdr:spPr>
    </xdr:pic>
    <xdr:clientData/>
  </xdr:twoCellAnchor>
  <xdr:twoCellAnchor>
    <xdr:from>
      <xdr:col>0</xdr:col>
      <xdr:colOff>152399</xdr:colOff>
      <xdr:row>0</xdr:row>
      <xdr:rowOff>514350</xdr:rowOff>
    </xdr:from>
    <xdr:to>
      <xdr:col>3</xdr:col>
      <xdr:colOff>981074</xdr:colOff>
      <xdr:row>1</xdr:row>
      <xdr:rowOff>0</xdr:rowOff>
    </xdr:to>
    <xdr:sp macro="" textlink="">
      <xdr:nvSpPr>
        <xdr:cNvPr id="8" name="กล่องข้อความ 1" descr="รายการสินค้าคงคลัง" title="ชื่อเรื่อง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2399" y="514350"/>
          <a:ext cx="2657475" cy="962025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algn="l" rtl="0"/>
          <a:r>
            <a:rPr lang="th-th" sz="1800">
              <a:solidFill>
                <a:schemeClr val="accent3">
                  <a:lumMod val="20000"/>
                  <a:lumOff val="80000"/>
                </a:schemeClr>
              </a:solidFill>
              <a:latin typeface="Leelawadee" panose="020B0502040204020203" pitchFamily="34" charset="-34"/>
              <a:cs typeface="Leelawadee" panose="020B0502040204020203" pitchFamily="34" charset="-34"/>
            </a:rPr>
            <a:t>รายการสินค้าคงคลัง</a:t>
          </a:r>
        </a:p>
        <a:p>
          <a:pPr marL="0" algn="l" rtl="0"/>
          <a:r>
            <a:rPr lang="th-th" sz="1800">
              <a:solidFill>
                <a:schemeClr val="tx2">
                  <a:lumMod val="40000"/>
                  <a:lumOff val="60000"/>
                </a:schemeClr>
              </a:solidFill>
              <a:latin typeface="Leelawadee" panose="020B0502040204020203" pitchFamily="34" charset="-34"/>
              <a:cs typeface="Leelawadee" panose="020B0502040204020203" pitchFamily="34" charset="-34"/>
            </a:rPr>
            <a:t>ชื่อบริษัท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ory_List_Table" displayName="Inventory_List_Table" ref="B3:L28" headerRowDxfId="25" dataDxfId="24">
  <autoFilter ref="B3:L28" xr:uid="{00000000-0009-0000-0100-000001000000}"/>
  <tableColumns count="11">
    <tableColumn id="1" xr3:uid="{00000000-0010-0000-0000-000001000000}" name="สำหรับการสั่งซื้อซ้ำ" totalsRowLabel="ผลรวม" dataDxfId="23" totalsRowDxfId="22">
      <calculatedColumnFormula>IFERROR((Inventory_List_Table[[#This Row],[จำนวนในคลังสินค้า]]&lt;=Inventory_List_Table[[#This Row],[ระดับการสั่งซื้อใหม่]])*(Inventory_List_Table[[#This Row],[เลิกสั่งซื้อหรือไม่]]="")*valHighlight,0)</calculatedColumnFormula>
    </tableColumn>
    <tableColumn id="2" xr3:uid="{00000000-0010-0000-0000-000002000000}" name="ID สินค้าคงคลัง" dataDxfId="21" totalsRowDxfId="20"/>
    <tableColumn id="3" xr3:uid="{00000000-0010-0000-0000-000003000000}" name="ชื่อ" dataDxfId="19" totalsRowDxfId="18"/>
    <tableColumn id="4" xr3:uid="{00000000-0010-0000-0000-000004000000}" name="คำอธิบาย" dataDxfId="17" totalsRowDxfId="16"/>
    <tableColumn id="5" xr3:uid="{00000000-0010-0000-0000-000005000000}" name="ราคาต่อหน่วย" dataDxfId="15" totalsRowDxfId="14"/>
    <tableColumn id="6" xr3:uid="{00000000-0010-0000-0000-000006000000}" name="จำนวนในคลังสินค้า" dataDxfId="13" totalsRowDxfId="12"/>
    <tableColumn id="7" xr3:uid="{00000000-0010-0000-0000-000007000000}" name="มูลค่าของสินค้าคงคลัง" dataDxfId="11" totalsRowDxfId="10">
      <calculatedColumnFormula>Inventory_List_Table[[#This Row],[ราคาต่อหน่วย]]*Inventory_List_Table[[#This Row],[จำนวนในคลังสินค้า]]</calculatedColumnFormula>
    </tableColumn>
    <tableColumn id="8" xr3:uid="{00000000-0010-0000-0000-000008000000}" name="ระดับการสั่งซื้อใหม่" dataDxfId="9" totalsRowDxfId="8"/>
    <tableColumn id="9" xr3:uid="{00000000-0010-0000-0000-000009000000}" name="ระยะเวลาการสั่งซื้อซ้ำเป็นวัน" dataDxfId="7" totalsRowDxfId="6"/>
    <tableColumn id="10" xr3:uid="{00000000-0010-0000-0000-00000A000000}" name="จำนวนการสั่งซื้อซ้ำ" dataDxfId="5" totalsRowDxfId="4"/>
    <tableColumn id="11" xr3:uid="{00000000-0010-0000-0000-00000B000000}" name="เลิกสั่งซื้อหรือไม่" totalsRowFunction="count" dataDxfId="3" totalsRowDxfId="2"/>
  </tableColumns>
  <tableStyleInfo name="ตารางธุรกิจ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BUS_Activity Based Cost Trac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Business Templates Font Set">
      <a:majorFont>
        <a:latin typeface="Franklin Gothic Book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M28"/>
  <sheetViews>
    <sheetView showGridLines="0" tabSelected="1" zoomScaleNormal="100" workbookViewId="0"/>
  </sheetViews>
  <sheetFormatPr defaultColWidth="8.625" defaultRowHeight="24" customHeight="1" x14ac:dyDescent="0.25"/>
  <cols>
    <col min="1" max="1" width="1.625" style="8" customWidth="1"/>
    <col min="2" max="2" width="12.25" style="6" customWidth="1"/>
    <col min="3" max="3" width="12.625" style="12" customWidth="1"/>
    <col min="4" max="5" width="16.625" style="12" customWidth="1"/>
    <col min="6" max="6" width="10.625" style="14" customWidth="1"/>
    <col min="7" max="7" width="14.25" style="14" customWidth="1"/>
    <col min="8" max="8" width="15.875" style="14" customWidth="1"/>
    <col min="9" max="9" width="13.75" style="14" customWidth="1"/>
    <col min="10" max="10" width="17.25" style="14" customWidth="1"/>
    <col min="11" max="11" width="13" style="14" customWidth="1"/>
    <col min="12" max="12" width="12.625" style="12" customWidth="1"/>
    <col min="13" max="13" width="1.625" style="8" customWidth="1"/>
    <col min="14" max="16384" width="8.625" style="8"/>
  </cols>
  <sheetData>
    <row r="1" spans="2:13" s="4" customFormat="1" ht="116.25" customHeight="1" x14ac:dyDescent="0.2">
      <c r="B1" s="2"/>
      <c r="C1" s="3"/>
      <c r="D1" s="3"/>
      <c r="E1" s="3"/>
      <c r="G1" s="5"/>
      <c r="I1" s="5"/>
      <c r="J1" s="5"/>
      <c r="M1" s="4" t="s">
        <v>88</v>
      </c>
    </row>
    <row r="2" spans="2:13" ht="23.25" customHeight="1" x14ac:dyDescent="0.25">
      <c r="C2" s="7"/>
      <c r="D2" s="7"/>
      <c r="E2" s="7"/>
      <c r="F2" s="8"/>
      <c r="G2" s="9"/>
      <c r="H2" s="8"/>
      <c r="I2" s="9"/>
      <c r="J2" s="9"/>
      <c r="K2" s="10" t="s">
        <v>84</v>
      </c>
      <c r="L2" s="11" t="s">
        <v>86</v>
      </c>
    </row>
    <row r="3" spans="2:13" s="6" customFormat="1" ht="50.1" customHeight="1" x14ac:dyDescent="0.25">
      <c r="B3" s="1" t="s">
        <v>0</v>
      </c>
      <c r="C3" s="1" t="s">
        <v>1</v>
      </c>
      <c r="D3" s="1" t="s">
        <v>27</v>
      </c>
      <c r="E3" s="1" t="s">
        <v>53</v>
      </c>
      <c r="F3" s="1" t="s">
        <v>79</v>
      </c>
      <c r="G3" s="1" t="s">
        <v>80</v>
      </c>
      <c r="H3" s="1" t="s">
        <v>81</v>
      </c>
      <c r="I3" s="1" t="s">
        <v>82</v>
      </c>
      <c r="J3" s="1" t="s">
        <v>83</v>
      </c>
      <c r="K3" s="1" t="s">
        <v>85</v>
      </c>
      <c r="L3" s="1" t="s">
        <v>87</v>
      </c>
    </row>
    <row r="4" spans="2:13" ht="24" customHeight="1" x14ac:dyDescent="0.25">
      <c r="B4" s="6">
        <f>IFERROR((Inventory_List_Table[[#This Row],[จำนวนในคลังสินค้า]]&lt;=Inventory_List_Table[[#This Row],[ระดับการสั่งซื้อใหม่]])*(Inventory_List_Table[[#This Row],[เลิกสั่งซื้อหรือไม่]]="")*valHighlight,0)</f>
        <v>1</v>
      </c>
      <c r="C4" s="12" t="s">
        <v>2</v>
      </c>
      <c r="D4" s="12" t="s">
        <v>28</v>
      </c>
      <c r="E4" s="12" t="s">
        <v>54</v>
      </c>
      <c r="F4" s="13">
        <v>51</v>
      </c>
      <c r="G4" s="14">
        <v>25</v>
      </c>
      <c r="H4" s="13">
        <f>Inventory_List_Table[[#This Row],[ราคาต่อหน่วย]]*Inventory_List_Table[[#This Row],[จำนวนในคลังสินค้า]]</f>
        <v>1275</v>
      </c>
      <c r="I4" s="14">
        <v>29</v>
      </c>
      <c r="J4" s="14">
        <v>13</v>
      </c>
      <c r="K4" s="14">
        <v>50</v>
      </c>
    </row>
    <row r="5" spans="2:13" ht="24" customHeight="1" x14ac:dyDescent="0.25">
      <c r="B5" s="6">
        <f>IFERROR((Inventory_List_Table[[#This Row],[จำนวนในคลังสินค้า]]&lt;=Inventory_List_Table[[#This Row],[ระดับการสั่งซื้อใหม่]])*(Inventory_List_Table[[#This Row],[เลิกสั่งซื้อหรือไม่]]="")*valHighlight,0)</f>
        <v>1</v>
      </c>
      <c r="C5" s="12" t="s">
        <v>3</v>
      </c>
      <c r="D5" s="12" t="s">
        <v>29</v>
      </c>
      <c r="E5" s="12" t="s">
        <v>55</v>
      </c>
      <c r="F5" s="13">
        <v>93</v>
      </c>
      <c r="G5" s="14">
        <v>132</v>
      </c>
      <c r="H5" s="13">
        <f>Inventory_List_Table[[#This Row],[ราคาต่อหน่วย]]*Inventory_List_Table[[#This Row],[จำนวนในคลังสินค้า]]</f>
        <v>12276</v>
      </c>
      <c r="I5" s="14">
        <v>231</v>
      </c>
      <c r="J5" s="14">
        <v>4</v>
      </c>
      <c r="K5" s="14">
        <v>50</v>
      </c>
    </row>
    <row r="6" spans="2:13" ht="24" customHeight="1" x14ac:dyDescent="0.25">
      <c r="B6" s="6">
        <f>IFERROR((Inventory_List_Table[[#This Row],[จำนวนในคลังสินค้า]]&lt;=Inventory_List_Table[[#This Row],[ระดับการสั่งซื้อใหม่]])*(Inventory_List_Table[[#This Row],[เลิกสั่งซื้อหรือไม่]]="")*valHighlight,0)</f>
        <v>0</v>
      </c>
      <c r="C6" s="12" t="s">
        <v>4</v>
      </c>
      <c r="D6" s="12" t="s">
        <v>30</v>
      </c>
      <c r="E6" s="12" t="s">
        <v>56</v>
      </c>
      <c r="F6" s="13">
        <v>57</v>
      </c>
      <c r="G6" s="14">
        <v>151</v>
      </c>
      <c r="H6" s="13">
        <f>Inventory_List_Table[[#This Row],[ราคาต่อหน่วย]]*Inventory_List_Table[[#This Row],[จำนวนในคลังสินค้า]]</f>
        <v>8607</v>
      </c>
      <c r="I6" s="14">
        <v>114</v>
      </c>
      <c r="J6" s="14">
        <v>11</v>
      </c>
      <c r="K6" s="14">
        <v>150</v>
      </c>
    </row>
    <row r="7" spans="2:13" ht="24" customHeight="1" x14ac:dyDescent="0.25">
      <c r="B7" s="6">
        <f>IFERROR((Inventory_List_Table[[#This Row],[จำนวนในคลังสินค้า]]&lt;=Inventory_List_Table[[#This Row],[ระดับการสั่งซื้อใหม่]])*(Inventory_List_Table[[#This Row],[เลิกสั่งซื้อหรือไม่]]="")*valHighlight,0)</f>
        <v>0</v>
      </c>
      <c r="C7" s="12" t="s">
        <v>5</v>
      </c>
      <c r="D7" s="12" t="s">
        <v>31</v>
      </c>
      <c r="E7" s="12" t="s">
        <v>57</v>
      </c>
      <c r="F7" s="13">
        <v>19</v>
      </c>
      <c r="G7" s="14">
        <v>186</v>
      </c>
      <c r="H7" s="13">
        <f>Inventory_List_Table[[#This Row],[ราคาต่อหน่วย]]*Inventory_List_Table[[#This Row],[จำนวนในคลังสินค้า]]</f>
        <v>3534</v>
      </c>
      <c r="I7" s="14">
        <v>158</v>
      </c>
      <c r="J7" s="14">
        <v>6</v>
      </c>
      <c r="K7" s="14">
        <v>50</v>
      </c>
    </row>
    <row r="8" spans="2:13" ht="24" customHeight="1" x14ac:dyDescent="0.25">
      <c r="B8" s="6">
        <f>IFERROR((Inventory_List_Table[[#This Row],[จำนวนในคลังสินค้า]]&lt;=Inventory_List_Table[[#This Row],[ระดับการสั่งซื้อใหม่]])*(Inventory_List_Table[[#This Row],[เลิกสั่งซื้อหรือไม่]]="")*valHighlight,0)</f>
        <v>0</v>
      </c>
      <c r="C8" s="12" t="s">
        <v>6</v>
      </c>
      <c r="D8" s="12" t="s">
        <v>32</v>
      </c>
      <c r="E8" s="12" t="s">
        <v>58</v>
      </c>
      <c r="F8" s="13">
        <v>75</v>
      </c>
      <c r="G8" s="14">
        <v>62</v>
      </c>
      <c r="H8" s="13">
        <f>Inventory_List_Table[[#This Row],[ราคาต่อหน่วย]]*Inventory_List_Table[[#This Row],[จำนวนในคลังสินค้า]]</f>
        <v>4650</v>
      </c>
      <c r="I8" s="14">
        <v>39</v>
      </c>
      <c r="J8" s="14">
        <v>12</v>
      </c>
      <c r="K8" s="14">
        <v>50</v>
      </c>
    </row>
    <row r="9" spans="2:13" ht="24" customHeight="1" x14ac:dyDescent="0.25">
      <c r="B9" s="6">
        <f>IFERROR((Inventory_List_Table[[#This Row],[จำนวนในคลังสินค้า]]&lt;=Inventory_List_Table[[#This Row],[ระดับการสั่งซื้อใหม่]])*(Inventory_List_Table[[#This Row],[เลิกสั่งซื้อหรือไม่]]="")*valHighlight,0)</f>
        <v>1</v>
      </c>
      <c r="C9" s="12" t="s">
        <v>7</v>
      </c>
      <c r="D9" s="12" t="s">
        <v>33</v>
      </c>
      <c r="E9" s="12" t="s">
        <v>59</v>
      </c>
      <c r="F9" s="13">
        <v>11</v>
      </c>
      <c r="G9" s="14">
        <v>5</v>
      </c>
      <c r="H9" s="13">
        <f>Inventory_List_Table[[#This Row],[ราคาต่อหน่วย]]*Inventory_List_Table[[#This Row],[จำนวนในคลังสินค้า]]</f>
        <v>55</v>
      </c>
      <c r="I9" s="14">
        <v>9</v>
      </c>
      <c r="J9" s="14">
        <v>13</v>
      </c>
      <c r="K9" s="14">
        <v>150</v>
      </c>
    </row>
    <row r="10" spans="2:13" ht="24" customHeight="1" x14ac:dyDescent="0.25">
      <c r="B10" s="6">
        <f>IFERROR((Inventory_List_Table[[#This Row],[จำนวนในคลังสินค้า]]&lt;=Inventory_List_Table[[#This Row],[ระดับการสั่งซื้อใหม่]])*(Inventory_List_Table[[#This Row],[เลิกสั่งซื้อหรือไม่]]="")*valHighlight,0)</f>
        <v>0</v>
      </c>
      <c r="C10" s="12" t="s">
        <v>8</v>
      </c>
      <c r="D10" s="12" t="s">
        <v>34</v>
      </c>
      <c r="E10" s="12" t="s">
        <v>60</v>
      </c>
      <c r="F10" s="13">
        <v>56</v>
      </c>
      <c r="G10" s="14">
        <v>58</v>
      </c>
      <c r="H10" s="13">
        <f>Inventory_List_Table[[#This Row],[ราคาต่อหน่วย]]*Inventory_List_Table[[#This Row],[จำนวนในคลังสินค้า]]</f>
        <v>3248</v>
      </c>
      <c r="I10" s="14">
        <v>109</v>
      </c>
      <c r="J10" s="14">
        <v>7</v>
      </c>
      <c r="K10" s="14">
        <v>100</v>
      </c>
      <c r="L10" s="12" t="s">
        <v>86</v>
      </c>
    </row>
    <row r="11" spans="2:13" ht="24" customHeight="1" x14ac:dyDescent="0.25">
      <c r="B11" s="6">
        <f>IFERROR((Inventory_List_Table[[#This Row],[จำนวนในคลังสินค้า]]&lt;=Inventory_List_Table[[#This Row],[ระดับการสั่งซื้อใหม่]])*(Inventory_List_Table[[#This Row],[เลิกสั่งซื้อหรือไม่]]="")*valHighlight,0)</f>
        <v>1</v>
      </c>
      <c r="C11" s="12" t="s">
        <v>9</v>
      </c>
      <c r="D11" s="12" t="s">
        <v>35</v>
      </c>
      <c r="E11" s="12" t="s">
        <v>61</v>
      </c>
      <c r="F11" s="13">
        <v>38</v>
      </c>
      <c r="G11" s="14">
        <v>101</v>
      </c>
      <c r="H11" s="13">
        <f>Inventory_List_Table[[#This Row],[ราคาต่อหน่วย]]*Inventory_List_Table[[#This Row],[จำนวนในคลังสินค้า]]</f>
        <v>3838</v>
      </c>
      <c r="I11" s="14">
        <v>162</v>
      </c>
      <c r="J11" s="14">
        <v>3</v>
      </c>
      <c r="K11" s="14">
        <v>100</v>
      </c>
    </row>
    <row r="12" spans="2:13" ht="24" customHeight="1" x14ac:dyDescent="0.25">
      <c r="B12" s="6">
        <f>IFERROR((Inventory_List_Table[[#This Row],[จำนวนในคลังสินค้า]]&lt;=Inventory_List_Table[[#This Row],[ระดับการสั่งซื้อใหม่]])*(Inventory_List_Table[[#This Row],[เลิกสั่งซื้อหรือไม่]]="")*valHighlight,0)</f>
        <v>0</v>
      </c>
      <c r="C12" s="12" t="s">
        <v>10</v>
      </c>
      <c r="D12" s="12" t="s">
        <v>36</v>
      </c>
      <c r="E12" s="12" t="s">
        <v>62</v>
      </c>
      <c r="F12" s="13">
        <v>59</v>
      </c>
      <c r="G12" s="14">
        <v>122</v>
      </c>
      <c r="H12" s="13">
        <f>Inventory_List_Table[[#This Row],[ราคาต่อหน่วย]]*Inventory_List_Table[[#This Row],[จำนวนในคลังสินค้า]]</f>
        <v>7198</v>
      </c>
      <c r="I12" s="14">
        <v>82</v>
      </c>
      <c r="J12" s="14">
        <v>3</v>
      </c>
      <c r="K12" s="14">
        <v>150</v>
      </c>
    </row>
    <row r="13" spans="2:13" ht="24" customHeight="1" x14ac:dyDescent="0.25">
      <c r="B13" s="6">
        <f>IFERROR((Inventory_List_Table[[#This Row],[จำนวนในคลังสินค้า]]&lt;=Inventory_List_Table[[#This Row],[ระดับการสั่งซื้อใหม่]])*(Inventory_List_Table[[#This Row],[เลิกสั่งซื้อหรือไม่]]="")*valHighlight,0)</f>
        <v>1</v>
      </c>
      <c r="C13" s="12" t="s">
        <v>11</v>
      </c>
      <c r="D13" s="12" t="s">
        <v>37</v>
      </c>
      <c r="E13" s="12" t="s">
        <v>63</v>
      </c>
      <c r="F13" s="13">
        <v>50</v>
      </c>
      <c r="G13" s="14">
        <v>175</v>
      </c>
      <c r="H13" s="13">
        <f>Inventory_List_Table[[#This Row],[ราคาต่อหน่วย]]*Inventory_List_Table[[#This Row],[จำนวนในคลังสินค้า]]</f>
        <v>8750</v>
      </c>
      <c r="I13" s="14">
        <v>283</v>
      </c>
      <c r="J13" s="14">
        <v>8</v>
      </c>
      <c r="K13" s="14">
        <v>150</v>
      </c>
    </row>
    <row r="14" spans="2:13" ht="24" customHeight="1" x14ac:dyDescent="0.25">
      <c r="B14" s="6">
        <f>IFERROR((Inventory_List_Table[[#This Row],[จำนวนในคลังสินค้า]]&lt;=Inventory_List_Table[[#This Row],[ระดับการสั่งซื้อใหม่]])*(Inventory_List_Table[[#This Row],[เลิกสั่งซื้อหรือไม่]]="")*valHighlight,0)</f>
        <v>1</v>
      </c>
      <c r="C14" s="12" t="s">
        <v>12</v>
      </c>
      <c r="D14" s="12" t="s">
        <v>38</v>
      </c>
      <c r="E14" s="12" t="s">
        <v>64</v>
      </c>
      <c r="F14" s="13">
        <v>59</v>
      </c>
      <c r="G14" s="14">
        <v>176</v>
      </c>
      <c r="H14" s="13">
        <f>Inventory_List_Table[[#This Row],[ราคาต่อหน่วย]]*Inventory_List_Table[[#This Row],[จำนวนในคลังสินค้า]]</f>
        <v>10384</v>
      </c>
      <c r="I14" s="14">
        <v>229</v>
      </c>
      <c r="J14" s="14">
        <v>1</v>
      </c>
      <c r="K14" s="14">
        <v>100</v>
      </c>
    </row>
    <row r="15" spans="2:13" ht="24" customHeight="1" x14ac:dyDescent="0.25">
      <c r="B15" s="6">
        <f>IFERROR((Inventory_List_Table[[#This Row],[จำนวนในคลังสินค้า]]&lt;=Inventory_List_Table[[#This Row],[ระดับการสั่งซื้อใหม่]])*(Inventory_List_Table[[#This Row],[เลิกสั่งซื้อหรือไม่]]="")*valHighlight,0)</f>
        <v>1</v>
      </c>
      <c r="C15" s="12" t="s">
        <v>13</v>
      </c>
      <c r="D15" s="12" t="s">
        <v>39</v>
      </c>
      <c r="E15" s="12" t="s">
        <v>65</v>
      </c>
      <c r="F15" s="13">
        <v>18</v>
      </c>
      <c r="G15" s="14">
        <v>22</v>
      </c>
      <c r="H15" s="13">
        <f>Inventory_List_Table[[#This Row],[ราคาต่อหน่วย]]*Inventory_List_Table[[#This Row],[จำนวนในคลังสินค้า]]</f>
        <v>396</v>
      </c>
      <c r="I15" s="14">
        <v>36</v>
      </c>
      <c r="J15" s="14">
        <v>12</v>
      </c>
      <c r="K15" s="14">
        <v>50</v>
      </c>
    </row>
    <row r="16" spans="2:13" ht="24" customHeight="1" x14ac:dyDescent="0.25">
      <c r="B16" s="6">
        <f>IFERROR((Inventory_List_Table[[#This Row],[จำนวนในคลังสินค้า]]&lt;=Inventory_List_Table[[#This Row],[ระดับการสั่งซื้อใหม่]])*(Inventory_List_Table[[#This Row],[เลิกสั่งซื้อหรือไม่]]="")*valHighlight,0)</f>
        <v>1</v>
      </c>
      <c r="C16" s="12" t="s">
        <v>14</v>
      </c>
      <c r="D16" s="12" t="s">
        <v>40</v>
      </c>
      <c r="E16" s="12" t="s">
        <v>66</v>
      </c>
      <c r="F16" s="13">
        <v>26</v>
      </c>
      <c r="G16" s="14">
        <v>72</v>
      </c>
      <c r="H16" s="13">
        <f>Inventory_List_Table[[#This Row],[ราคาต่อหน่วย]]*Inventory_List_Table[[#This Row],[จำนวนในคลังสินค้า]]</f>
        <v>1872</v>
      </c>
      <c r="I16" s="14">
        <v>102</v>
      </c>
      <c r="J16" s="14">
        <v>9</v>
      </c>
      <c r="K16" s="14">
        <v>100</v>
      </c>
    </row>
    <row r="17" spans="2:12" ht="24" customHeight="1" x14ac:dyDescent="0.25">
      <c r="B17" s="6">
        <f>IFERROR((Inventory_List_Table[[#This Row],[จำนวนในคลังสินค้า]]&lt;=Inventory_List_Table[[#This Row],[ระดับการสั่งซื้อใหม่]])*(Inventory_List_Table[[#This Row],[เลิกสั่งซื้อหรือไม่]]="")*valHighlight,0)</f>
        <v>1</v>
      </c>
      <c r="C17" s="12" t="s">
        <v>15</v>
      </c>
      <c r="D17" s="12" t="s">
        <v>41</v>
      </c>
      <c r="E17" s="12" t="s">
        <v>67</v>
      </c>
      <c r="F17" s="13">
        <v>42</v>
      </c>
      <c r="G17" s="14">
        <v>62</v>
      </c>
      <c r="H17" s="13">
        <f>Inventory_List_Table[[#This Row],[ราคาต่อหน่วย]]*Inventory_List_Table[[#This Row],[จำนวนในคลังสินค้า]]</f>
        <v>2604</v>
      </c>
      <c r="I17" s="14">
        <v>83</v>
      </c>
      <c r="J17" s="14">
        <v>2</v>
      </c>
      <c r="K17" s="14">
        <v>100</v>
      </c>
    </row>
    <row r="18" spans="2:12" ht="24" customHeight="1" x14ac:dyDescent="0.25">
      <c r="B18" s="6">
        <f>IFERROR((Inventory_List_Table[[#This Row],[จำนวนในคลังสินค้า]]&lt;=Inventory_List_Table[[#This Row],[ระดับการสั่งซื้อใหม่]])*(Inventory_List_Table[[#This Row],[เลิกสั่งซื้อหรือไม่]]="")*valHighlight,0)</f>
        <v>0</v>
      </c>
      <c r="C18" s="12" t="s">
        <v>16</v>
      </c>
      <c r="D18" s="12" t="s">
        <v>42</v>
      </c>
      <c r="E18" s="12" t="s">
        <v>68</v>
      </c>
      <c r="F18" s="13">
        <v>32</v>
      </c>
      <c r="G18" s="14">
        <v>46</v>
      </c>
      <c r="H18" s="13">
        <f>Inventory_List_Table[[#This Row],[ราคาต่อหน่วย]]*Inventory_List_Table[[#This Row],[จำนวนในคลังสินค้า]]</f>
        <v>1472</v>
      </c>
      <c r="I18" s="14">
        <v>23</v>
      </c>
      <c r="J18" s="14">
        <v>15</v>
      </c>
      <c r="K18" s="14">
        <v>50</v>
      </c>
    </row>
    <row r="19" spans="2:12" ht="24" customHeight="1" x14ac:dyDescent="0.25">
      <c r="B19" s="6">
        <f>IFERROR((Inventory_List_Table[[#This Row],[จำนวนในคลังสินค้า]]&lt;=Inventory_List_Table[[#This Row],[ระดับการสั่งซื้อใหม่]])*(Inventory_List_Table[[#This Row],[เลิกสั่งซื้อหรือไม่]]="")*valHighlight,0)</f>
        <v>1</v>
      </c>
      <c r="C19" s="12" t="s">
        <v>17</v>
      </c>
      <c r="D19" s="12" t="s">
        <v>43</v>
      </c>
      <c r="E19" s="12" t="s">
        <v>69</v>
      </c>
      <c r="F19" s="13">
        <v>90</v>
      </c>
      <c r="G19" s="14">
        <v>96</v>
      </c>
      <c r="H19" s="13">
        <f>Inventory_List_Table[[#This Row],[ราคาต่อหน่วย]]*Inventory_List_Table[[#This Row],[จำนวนในคลังสินค้า]]</f>
        <v>8640</v>
      </c>
      <c r="I19" s="14">
        <v>180</v>
      </c>
      <c r="J19" s="14">
        <v>3</v>
      </c>
      <c r="K19" s="14">
        <v>50</v>
      </c>
    </row>
    <row r="20" spans="2:12" ht="24" customHeight="1" x14ac:dyDescent="0.25">
      <c r="B20" s="6">
        <f>IFERROR((Inventory_List_Table[[#This Row],[จำนวนในคลังสินค้า]]&lt;=Inventory_List_Table[[#This Row],[ระดับการสั่งซื้อใหม่]])*(Inventory_List_Table[[#This Row],[เลิกสั่งซื้อหรือไม่]]="")*valHighlight,0)</f>
        <v>0</v>
      </c>
      <c r="C20" s="12" t="s">
        <v>18</v>
      </c>
      <c r="D20" s="12" t="s">
        <v>44</v>
      </c>
      <c r="E20" s="12" t="s">
        <v>70</v>
      </c>
      <c r="F20" s="13">
        <v>97</v>
      </c>
      <c r="G20" s="14">
        <v>57</v>
      </c>
      <c r="H20" s="13">
        <f>Inventory_List_Table[[#This Row],[ราคาต่อหน่วย]]*Inventory_List_Table[[#This Row],[จำนวนในคลังสินค้า]]</f>
        <v>5529</v>
      </c>
      <c r="I20" s="14">
        <v>98</v>
      </c>
      <c r="J20" s="14">
        <v>12</v>
      </c>
      <c r="K20" s="14">
        <v>50</v>
      </c>
      <c r="L20" s="12" t="s">
        <v>86</v>
      </c>
    </row>
    <row r="21" spans="2:12" ht="24" customHeight="1" x14ac:dyDescent="0.25">
      <c r="B21" s="6">
        <f>IFERROR((Inventory_List_Table[[#This Row],[จำนวนในคลังสินค้า]]&lt;=Inventory_List_Table[[#This Row],[ระดับการสั่งซื้อใหม่]])*(Inventory_List_Table[[#This Row],[เลิกสั่งซื้อหรือไม่]]="")*valHighlight,0)</f>
        <v>1</v>
      </c>
      <c r="C21" s="12" t="s">
        <v>19</v>
      </c>
      <c r="D21" s="12" t="s">
        <v>45</v>
      </c>
      <c r="E21" s="12" t="s">
        <v>71</v>
      </c>
      <c r="F21" s="13">
        <v>12</v>
      </c>
      <c r="G21" s="14">
        <v>6</v>
      </c>
      <c r="H21" s="13">
        <f>Inventory_List_Table[[#This Row],[ราคาต่อหน่วย]]*Inventory_List_Table[[#This Row],[จำนวนในคลังสินค้า]]</f>
        <v>72</v>
      </c>
      <c r="I21" s="14">
        <v>7</v>
      </c>
      <c r="J21" s="14">
        <v>13</v>
      </c>
      <c r="K21" s="14">
        <v>50</v>
      </c>
    </row>
    <row r="22" spans="2:12" ht="24" customHeight="1" x14ac:dyDescent="0.25">
      <c r="B22" s="6">
        <f>IFERROR((Inventory_List_Table[[#This Row],[จำนวนในคลังสินค้า]]&lt;=Inventory_List_Table[[#This Row],[ระดับการสั่งซื้อใหม่]])*(Inventory_List_Table[[#This Row],[เลิกสั่งซื้อหรือไม่]]="")*valHighlight,0)</f>
        <v>1</v>
      </c>
      <c r="C22" s="12" t="s">
        <v>20</v>
      </c>
      <c r="D22" s="12" t="s">
        <v>46</v>
      </c>
      <c r="E22" s="12" t="s">
        <v>72</v>
      </c>
      <c r="F22" s="13">
        <v>82</v>
      </c>
      <c r="G22" s="14">
        <v>143</v>
      </c>
      <c r="H22" s="13">
        <f>Inventory_List_Table[[#This Row],[ราคาต่อหน่วย]]*Inventory_List_Table[[#This Row],[จำนวนในคลังสินค้า]]</f>
        <v>11726</v>
      </c>
      <c r="I22" s="14">
        <v>164</v>
      </c>
      <c r="J22" s="14">
        <v>12</v>
      </c>
      <c r="K22" s="14">
        <v>150</v>
      </c>
    </row>
    <row r="23" spans="2:12" ht="24" customHeight="1" x14ac:dyDescent="0.25">
      <c r="B23" s="6">
        <f>IFERROR((Inventory_List_Table[[#This Row],[จำนวนในคลังสินค้า]]&lt;=Inventory_List_Table[[#This Row],[ระดับการสั่งซื้อใหม่]])*(Inventory_List_Table[[#This Row],[เลิกสั่งซื้อหรือไม่]]="")*valHighlight,0)</f>
        <v>0</v>
      </c>
      <c r="C23" s="12" t="s">
        <v>21</v>
      </c>
      <c r="D23" s="12" t="s">
        <v>47</v>
      </c>
      <c r="E23" s="12" t="s">
        <v>73</v>
      </c>
      <c r="F23" s="13">
        <v>16</v>
      </c>
      <c r="G23" s="14">
        <v>124</v>
      </c>
      <c r="H23" s="13">
        <f>Inventory_List_Table[[#This Row],[ราคาต่อหน่วย]]*Inventory_List_Table[[#This Row],[จำนวนในคลังสินค้า]]</f>
        <v>1984</v>
      </c>
      <c r="I23" s="14">
        <v>113</v>
      </c>
      <c r="J23" s="14">
        <v>14</v>
      </c>
      <c r="K23" s="14">
        <v>50</v>
      </c>
    </row>
    <row r="24" spans="2:12" ht="24" customHeight="1" x14ac:dyDescent="0.25">
      <c r="B24" s="6">
        <f>IFERROR((Inventory_List_Table[[#This Row],[จำนวนในคลังสินค้า]]&lt;=Inventory_List_Table[[#This Row],[ระดับการสั่งซื้อใหม่]])*(Inventory_List_Table[[#This Row],[เลิกสั่งซื้อหรือไม่]]="")*valHighlight,0)</f>
        <v>0</v>
      </c>
      <c r="C24" s="12" t="s">
        <v>22</v>
      </c>
      <c r="D24" s="12" t="s">
        <v>48</v>
      </c>
      <c r="E24" s="12" t="s">
        <v>74</v>
      </c>
      <c r="F24" s="13">
        <v>19</v>
      </c>
      <c r="G24" s="14">
        <v>112</v>
      </c>
      <c r="H24" s="13">
        <f>Inventory_List_Table[[#This Row],[ราคาต่อหน่วย]]*Inventory_List_Table[[#This Row],[จำนวนในคลังสินค้า]]</f>
        <v>2128</v>
      </c>
      <c r="I24" s="14">
        <v>75</v>
      </c>
      <c r="J24" s="14">
        <v>11</v>
      </c>
      <c r="K24" s="14">
        <v>50</v>
      </c>
    </row>
    <row r="25" spans="2:12" ht="24" customHeight="1" x14ac:dyDescent="0.25">
      <c r="B25" s="6">
        <f>IFERROR((Inventory_List_Table[[#This Row],[จำนวนในคลังสินค้า]]&lt;=Inventory_List_Table[[#This Row],[ระดับการสั่งซื้อใหม่]])*(Inventory_List_Table[[#This Row],[เลิกสั่งซื้อหรือไม่]]="")*valHighlight,0)</f>
        <v>0</v>
      </c>
      <c r="C25" s="12" t="s">
        <v>23</v>
      </c>
      <c r="D25" s="12" t="s">
        <v>49</v>
      </c>
      <c r="E25" s="12" t="s">
        <v>75</v>
      </c>
      <c r="F25" s="13">
        <v>24</v>
      </c>
      <c r="G25" s="14">
        <v>182</v>
      </c>
      <c r="H25" s="13">
        <f>Inventory_List_Table[[#This Row],[ราคาต่อหน่วย]]*Inventory_List_Table[[#This Row],[จำนวนในคลังสินค้า]]</f>
        <v>4368</v>
      </c>
      <c r="I25" s="14">
        <v>132</v>
      </c>
      <c r="J25" s="14">
        <v>15</v>
      </c>
      <c r="K25" s="14">
        <v>150</v>
      </c>
    </row>
    <row r="26" spans="2:12" ht="24" customHeight="1" x14ac:dyDescent="0.25">
      <c r="B26" s="6">
        <f>IFERROR((Inventory_List_Table[[#This Row],[จำนวนในคลังสินค้า]]&lt;=Inventory_List_Table[[#This Row],[ระดับการสั่งซื้อใหม่]])*(Inventory_List_Table[[#This Row],[เลิกสั่งซื้อหรือไม่]]="")*valHighlight,0)</f>
        <v>0</v>
      </c>
      <c r="C26" s="12" t="s">
        <v>24</v>
      </c>
      <c r="D26" s="12" t="s">
        <v>50</v>
      </c>
      <c r="E26" s="12" t="s">
        <v>76</v>
      </c>
      <c r="F26" s="13">
        <v>29</v>
      </c>
      <c r="G26" s="14">
        <v>106</v>
      </c>
      <c r="H26" s="13">
        <f>Inventory_List_Table[[#This Row],[ราคาต่อหน่วย]]*Inventory_List_Table[[#This Row],[จำนวนในคลังสินค้า]]</f>
        <v>3074</v>
      </c>
      <c r="I26" s="14">
        <v>142</v>
      </c>
      <c r="J26" s="14">
        <v>1</v>
      </c>
      <c r="K26" s="14">
        <v>150</v>
      </c>
      <c r="L26" s="12" t="s">
        <v>86</v>
      </c>
    </row>
    <row r="27" spans="2:12" ht="24" customHeight="1" x14ac:dyDescent="0.25">
      <c r="B27" s="6">
        <f>IFERROR((Inventory_List_Table[[#This Row],[จำนวนในคลังสินค้า]]&lt;=Inventory_List_Table[[#This Row],[ระดับการสั่งซื้อใหม่]])*(Inventory_List_Table[[#This Row],[เลิกสั่งซื้อหรือไม่]]="")*valHighlight,0)</f>
        <v>0</v>
      </c>
      <c r="C27" s="12" t="s">
        <v>25</v>
      </c>
      <c r="D27" s="12" t="s">
        <v>51</v>
      </c>
      <c r="E27" s="12" t="s">
        <v>77</v>
      </c>
      <c r="F27" s="13">
        <v>75</v>
      </c>
      <c r="G27" s="14">
        <v>173</v>
      </c>
      <c r="H27" s="13">
        <f>Inventory_List_Table[[#This Row],[ราคาต่อหน่วย]]*Inventory_List_Table[[#This Row],[จำนวนในคลังสินค้า]]</f>
        <v>12975</v>
      </c>
      <c r="I27" s="14">
        <v>127</v>
      </c>
      <c r="J27" s="14">
        <v>9</v>
      </c>
      <c r="K27" s="14">
        <v>100</v>
      </c>
    </row>
    <row r="28" spans="2:12" ht="24" customHeight="1" x14ac:dyDescent="0.25">
      <c r="B28" s="6">
        <f>IFERROR((Inventory_List_Table[[#This Row],[จำนวนในคลังสินค้า]]&lt;=Inventory_List_Table[[#This Row],[ระดับการสั่งซื้อใหม่]])*(Inventory_List_Table[[#This Row],[เลิกสั่งซื้อหรือไม่]]="")*valHighlight,0)</f>
        <v>0</v>
      </c>
      <c r="C28" s="12" t="s">
        <v>26</v>
      </c>
      <c r="D28" s="12" t="s">
        <v>52</v>
      </c>
      <c r="E28" s="12" t="s">
        <v>78</v>
      </c>
      <c r="F28" s="13">
        <v>14</v>
      </c>
      <c r="G28" s="14">
        <v>28</v>
      </c>
      <c r="H28" s="13">
        <f>Inventory_List_Table[[#This Row],[ราคาต่อหน่วย]]*Inventory_List_Table[[#This Row],[จำนวนในคลังสินค้า]]</f>
        <v>392</v>
      </c>
      <c r="I28" s="14">
        <v>21</v>
      </c>
      <c r="J28" s="14">
        <v>8</v>
      </c>
      <c r="K28" s="14">
        <v>50</v>
      </c>
    </row>
  </sheetData>
  <conditionalFormatting sqref="B4:L28">
    <cfRule type="expression" dxfId="1" priority="1">
      <formula>$L4="ใช่"</formula>
    </cfRule>
    <cfRule type="expression" dxfId="0" priority="2">
      <formula>$B4=1</formula>
    </cfRule>
  </conditionalFormatting>
  <dataValidations xWindow="67" yWindow="628" count="15">
    <dataValidation allowBlank="1" showInputMessage="1" showErrorMessage="1" promptTitle="รายการสินค้าคงคลัง" prompt="_x000a_เวิร์กชีตนี้ติดตามสินค้าคงคลังของรายการที่อยู่ในตารางรายการสินค้าคงคลังและสามารถไฮไลต์และตั้งค่าสถานะรายการเหล่านั้นที่พร้อมสำหรับการสั่งซื้อใหม่ รายการที่ยกเลิกแล้วมีการจัดรูปแบบการขีดทับและ ใช่ ในคอลัมน์ยกเลิกแล้ว" sqref="A2" xr:uid="{00000000-0002-0000-0000-000000000000}"/>
    <dataValidation allowBlank="1" showInputMessage="1" showErrorMessage="1" prompt="นี่คือคอลัมน์อัตโนมัติ _x000a__x000a_A ไอคอนตั้งค่าสถานะในคอลัมน์นี้ระบุรายการในรายการสินค้าคงคลังที่พร้อมสำหรับการสั่งซื้อใหม่ ไอคอนตั้งค่าสถานะปรากฏเฉพาะเมื่อ ใช่ ถูกเลือกใน L2 และรายการตรงตามเกณฑ์การสั่งซื้อใหม่" sqref="B3" xr:uid="{00000000-0002-0000-0000-000001000000}"/>
    <dataValidation allowBlank="1" showInputMessage="1" showErrorMessage="1" prompt="ใส่ ID สินค้าคงคลังของรายการในคอลัมน์นี้" sqref="C3" xr:uid="{00000000-0002-0000-0000-000002000000}"/>
    <dataValidation allowBlank="1" showInputMessage="1" showErrorMessage="1" prompt="ใส่ชื่อรายการในคอลัมน์นี้" sqref="D3" xr:uid="{00000000-0002-0000-0000-000003000000}"/>
    <dataValidation allowBlank="1" showInputMessage="1" showErrorMessage="1" prompt="ใส่ ใช่ หากรายการถูกยกเลิกแล้ว เมื่อใส่ ใช่ แล้ว แถวที่สอดคล้องกันจะถูกเน้นด้วยสีเทาจางๆ และสไตล์ฟอนต์จะถูกเปลี่ยนเป็นขีดทับ" sqref="L3" xr:uid="{00000000-0002-0000-0000-000004000000}"/>
    <dataValidation allowBlank="1" showInputMessage="1" showErrorMessage="1" prompt="ใส่จำนวนในการสั่งซื้อใหม่ของแต่ละรายการในคอลัมน์นี้" sqref="K3" xr:uid="{00000000-0002-0000-0000-000005000000}"/>
    <dataValidation allowBlank="1" showInputMessage="1" showErrorMessage="1" prompt="ใส่จำนวนวันที่ใช้ในการสั่งซื้อใหม่สำหรับแต่ละรายการในคอลัมน์นี้" sqref="J3" xr:uid="{00000000-0002-0000-0000-000006000000}"/>
    <dataValidation allowBlank="1" showInputMessage="1" showErrorMessage="1" prompt="ใส่ระดับการสั่งซื้อใหม่ของแต่ละรายการในคอลัมน์นี้" sqref="I3" xr:uid="{00000000-0002-0000-0000-000007000000}"/>
    <dataValidation allowBlank="1" showInputMessage="1" showErrorMessage="1" prompt="นี่คือคอลัมน์อัตโนมัติ_x000a__x000a_มูลค่าสินค้าคงคลังของแต่ละรายการจะถูกคำนวณในคอลัมน์นี้โดยอัตโนมัติ" sqref="H3" xr:uid="{00000000-0002-0000-0000-000008000000}"/>
    <dataValidation allowBlank="1" showInputMessage="1" showErrorMessage="1" prompt="ใส่จำนวนในคลังสินค้าของแต่ละรายการในคอลัมน์นี้" sqref="G3" xr:uid="{00000000-0002-0000-0000-000009000000}"/>
    <dataValidation allowBlank="1" showInputMessage="1" showErrorMessage="1" prompt="ใส่ราคาต่อหน่วยของแต่ละรายการในคอลัมน์นี้" sqref="F3" xr:uid="{00000000-0002-0000-0000-00000A000000}"/>
    <dataValidation allowBlank="1" showInputMessage="1" showErrorMessage="1" prompt="ใส่คำอธิบายรายการในคอลัมน์นี้" sqref="E3" xr:uid="{00000000-0002-0000-0000-00000B000000}"/>
    <dataValidation type="list" allowBlank="1" showInputMessage="1" showErrorMessage="1" sqref="L4:L28" xr:uid="{00000000-0002-0000-0000-00000C000000}">
      <formula1>"ใช่"</formula1>
    </dataValidation>
    <dataValidation type="list" allowBlank="1" showInputMessage="1" showErrorMessage="1" prompt="เลือก ใช่ เพื่อเปิดใช้งานการไฮไลต์รายการสำหรับสั่งซื้อใหม่ โดยจะตั้งค่าสถานะในคอลัมน์ B และไฮไลต์แถวที่เกี่ยวข้องในตารางรายการสินค้าคงคลัง การเลือก ไม่ จะล้างค่าสถานะและไฮไลต์ทั้งหมด" sqref="L2" xr:uid="{00000000-0002-0000-0000-00000D000000}">
      <formula1>"ใช่, ไม่"</formula1>
    </dataValidation>
    <dataValidation allowBlank="1" showInputMessage="1" showErrorMessage="1" promptTitle="รายการสินค้าคงคลัง" prompt="เวิร์กชีตนี้ติดตามสินค้าคงคลังของรายการที่อยู่ในตารางรายการสินค้าคงคลังและสามารถไฮไลต์และตั้งค่าสถานะรายการเหล่านั้นที่พร้อมสำหรับการสั่งซื้อใหม่ รายการที่ยกเลิกแล้วมีการจัดรูปแบบการขีดทับและ ใช่ ในคอลัมน์ยกเลิกแล้ว" sqref="A1" xr:uid="{00000000-0002-0000-0000-00000E000000}"/>
  </dataValidations>
  <pageMargins left="0.25" right="0.25" top="0.75" bottom="0.75" header="0.3" footer="0.3"/>
  <pageSetup paperSize="9" scale="60" fitToHeight="0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22614FA3-6814-43BC-85E4-CF5B29361B41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B4:B28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EA25CC0A0AC24199CDC46C25B8B0BC" ma:contentTypeVersion="10" ma:contentTypeDescription="Create a new document." ma:contentTypeScope="" ma:versionID="e3b47856d4cf355c0dacb39e1084d14f">
  <xsd:schema xmlns:xsd="http://www.w3.org/2001/XMLSchema" xmlns:xs="http://www.w3.org/2001/XMLSchema" xmlns:p="http://schemas.microsoft.com/office/2006/metadata/properties" xmlns:ns1="http://schemas.microsoft.com/sharepoint/v3" xmlns:ns2="6dc4bcd6-49db-4c07-9060-8acfc67cef9f" xmlns:ns3="fb0879af-3eba-417a-a55a-ffe6dcd6ca77" targetNamespace="http://schemas.microsoft.com/office/2006/metadata/properties" ma:root="true" ma:fieldsID="a845a615265fdb1f7b12cc65ac20ecbd" ns1:_="" ns2:_="" ns3:_="">
    <xsd:import namespace="http://schemas.microsoft.com/sharepoint/v3"/>
    <xsd:import namespace="6dc4bcd6-49db-4c07-9060-8acfc67cef9f"/>
    <xsd:import namespace="fb0879af-3eba-417a-a55a-ffe6dcd6c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4bcd6-49db-4c07-9060-8acfc67cef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879af-3eba-417a-a55a-ffe6dcd6c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4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F3298A-223B-42B2-9FEF-AB506EA6B5F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E1227E31-123E-44EE-A422-2705DF3A59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c4bcd6-49db-4c07-9060-8acfc67cef9f"/>
    <ds:schemaRef ds:uri="fb0879af-3eba-417a-a55a-ffe6dcd6c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E17AD16-C3BD-472A-B362-8A85F95573C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TM78443713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รายการสินค้าคงคลัง</vt:lpstr>
      <vt:lpstr>รายการสินค้าคงคลัง!Print_Titles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2018-08-16T20:38:17Z</dcterms:created>
  <dcterms:modified xsi:type="dcterms:W3CDTF">2025-05-26T04:51:09Z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0x010100DEEA25CC0A0AC24199CDC46C25B8B0BC</vt:lpwstr>
  </property>
</Properties>
</file>